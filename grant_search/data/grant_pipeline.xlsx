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Screened Out" sheetId="2" state="visible" r:id="rId2"/>
    <sheet name="Method" sheetId="3" state="visible" r:id="rId3"/>
  </sheets>
  <definedNames>
    <definedName name="_xlnm._FilterDatabase" localSheetId="0" hidden="1">'Pipeline'!$A$4:$Q$34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%;-0%;-"/>
    <numFmt numFmtId="166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1"/>
    </font>
    <font>
      <name val="Arial"/>
      <b val="1"/>
      <color rgb="000000FF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double">
        <color rgb="001F3864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165" fontId="7" fillId="3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166" fontId="4" fillId="0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6" fillId="0" borderId="0" pivotButton="0" quotePrefix="0" xfId="0"/>
    <xf numFmtId="164" fontId="6" fillId="0" borderId="2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7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6" customWidth="1" min="10" max="10"/>
    <col width="11" customWidth="1" min="11" max="11"/>
    <col width="15" customWidth="1" min="12" max="12"/>
    <col width="6" customWidth="1" min="13" max="13"/>
    <col width="16" customWidth="1" min="14" max="14"/>
    <col width="14" customWidth="1" min="15" max="15"/>
    <col width="22" customWidth="1" min="16" max="16"/>
    <col width="80" customWidth="1" min="17" max="17"/>
  </cols>
  <sheetData>
    <row r="1">
      <c r="A1" s="1" t="inlineStr">
        <is>
          <t>Clear Conscience Consulting - Grant Pipeline</t>
        </is>
      </c>
    </row>
    <row r="2" ht="26" customHeight="1">
      <c r="A2" s="2" t="inlineStr">
        <is>
          <t>Ranked most to least likely to be awarded. Estimates are judgment, not measured win rates - see the Method tab. Yellow cells are yours to fill in; blue numbers are assumptions you can change.</t>
        </is>
      </c>
    </row>
    <row r="3">
      <c r="B3" s="3" t="inlineStr">
        <is>
          <t>Planning haircut on 'up to' award caps:</t>
        </is>
      </c>
      <c r="C3" s="4" t="n">
        <v>0.5</v>
      </c>
      <c r="D3" s="5" t="inlineStr">
        <is>
          <t>of the cap, since a small org should not request the maximum</t>
        </is>
      </c>
    </row>
    <row r="4" ht="30" customHeight="1">
      <c r="A4" s="6" t="inlineStr">
        <is>
          <t>Rank</t>
        </is>
      </c>
      <c r="B4" s="6" t="inlineStr">
        <is>
          <t>Opportunity</t>
        </is>
      </c>
      <c r="C4" s="6" t="inlineStr">
        <is>
          <t>Funder</t>
        </is>
      </c>
      <c r="D4" s="6" t="inlineStr">
        <is>
          <t>Type</t>
        </is>
      </c>
      <c r="E4" s="6" t="inlineStr">
        <is>
          <t>Deadline</t>
        </is>
      </c>
      <c r="F4" s="6" t="inlineStr">
        <is>
          <t>Stage</t>
        </is>
      </c>
      <c r="G4" s="6" t="inlineStr">
        <is>
          <t>Days Left</t>
        </is>
      </c>
      <c r="H4" s="6" t="inlineStr">
        <is>
          <t>Amount Low</t>
        </is>
      </c>
      <c r="I4" s="6" t="inlineStr">
        <is>
          <t>Amount High</t>
        </is>
      </c>
      <c r="J4" s="6" t="inlineStr">
        <is>
          <t>Planning Amount</t>
        </is>
      </c>
      <c r="K4" s="6" t="inlineStr">
        <is>
          <t>Est. Win %</t>
        </is>
      </c>
      <c r="L4" s="6" t="inlineStr">
        <is>
          <t>Expected Value</t>
        </is>
      </c>
      <c r="M4" s="6" t="inlineStr">
        <is>
          <t>Tier</t>
        </is>
      </c>
      <c r="N4" s="6" t="inlineStr">
        <is>
          <t>Status</t>
        </is>
      </c>
      <c r="O4" s="6" t="inlineStr">
        <is>
          <t>Owner</t>
        </is>
      </c>
      <c r="P4" s="6" t="inlineStr">
        <is>
          <t>Next Action</t>
        </is>
      </c>
      <c r="Q4" s="6" t="inlineStr">
        <is>
          <t>Notes / Watch-outs</t>
        </is>
      </c>
    </row>
    <row r="5" ht="46" customHeight="1">
      <c r="A5" s="7" t="n">
        <v>1</v>
      </c>
      <c r="B5" s="8" t="inlineStr">
        <is>
          <t>JOIN! Grants</t>
        </is>
      </c>
      <c r="C5" s="8" t="inlineStr">
        <is>
          <t>OceanFirst Foundation</t>
        </is>
      </c>
      <c r="D5" s="9" t="inlineStr">
        <is>
          <t>Private foundation</t>
        </is>
      </c>
      <c r="E5" s="7" t="n"/>
      <c r="F5" s="7" t="inlineStr">
        <is>
          <t>Rolling</t>
        </is>
      </c>
      <c r="G5" s="7">
        <f>IF(E5="","",E5-TODAY())</f>
        <v/>
      </c>
      <c r="H5" s="10" t="n"/>
      <c r="I5" s="10" t="n">
        <v>2500</v>
      </c>
      <c r="J5" s="11">
        <f>IF(AND(H5&lt;&gt;"",I5&lt;&gt;""),AVERAGE(H5:I5),IF(I5&lt;&gt;"",I5*$C$3,IF(H5&lt;&gt;"",H5,"")))</f>
        <v/>
      </c>
      <c r="K5" s="12" t="n">
        <v>0.5</v>
      </c>
      <c r="L5" s="11">
        <f>IF(OR(J5="",K5=""),"",J5*K5)</f>
        <v/>
      </c>
      <c r="M5" s="13" t="inlineStr">
        <is>
          <t>A</t>
        </is>
      </c>
      <c r="N5" s="14" t="n"/>
      <c r="O5" s="14" t="n"/>
      <c r="P5" s="14" t="n"/>
      <c r="Q5" s="8" t="inlineStr">
        <is>
          <t>NJ funder, minimal application, no cycle risk. Fastest possible first win.</t>
        </is>
      </c>
    </row>
    <row r="6" ht="46" customHeight="1">
      <c r="A6" s="7" t="n">
        <v>2</v>
      </c>
      <c r="B6" s="8" t="inlineStr">
        <is>
          <t>Neighborhood Partners Program</t>
        </is>
      </c>
      <c r="C6" s="8" t="inlineStr">
        <is>
          <t>PSEG Foundation</t>
        </is>
      </c>
      <c r="D6" s="9" t="inlineStr">
        <is>
          <t>Private foundation</t>
        </is>
      </c>
      <c r="E6" s="15" t="n">
        <v>46568</v>
      </c>
      <c r="F6" s="7" t="inlineStr">
        <is>
          <t>Full</t>
        </is>
      </c>
      <c r="G6" s="7">
        <f>IF(E6="","",E6-TODAY())</f>
        <v/>
      </c>
      <c r="H6" s="10" t="n">
        <v>500</v>
      </c>
      <c r="I6" s="10" t="n">
        <v>15000</v>
      </c>
      <c r="J6" s="11">
        <f>IF(AND(H6&lt;&gt;"",I6&lt;&gt;""),AVERAGE(H6:I6),IF(I6&lt;&gt;"",I6*$C$3,IF(H6&lt;&gt;"",H6,"")))</f>
        <v/>
      </c>
      <c r="K6" s="12" t="n">
        <v>0.4</v>
      </c>
      <c r="L6" s="11">
        <f>IF(OR(J6="",K6=""),"",J6*K6)</f>
        <v/>
      </c>
      <c r="M6" s="13" t="inlineStr">
        <is>
          <t>A</t>
        </is>
      </c>
      <c r="N6" s="14" t="n"/>
      <c r="O6" s="14" t="n"/>
      <c r="P6" s="14" t="n"/>
      <c r="Q6" s="8" t="inlineStr">
        <is>
          <t>Utility foundation; service territory covers the priority counties.</t>
        </is>
      </c>
    </row>
    <row r="7" ht="46" customHeight="1">
      <c r="A7" s="7" t="n">
        <v>3</v>
      </c>
      <c r="B7" s="8" t="inlineStr">
        <is>
          <t>Opioid Settlement micro-grants</t>
        </is>
      </c>
      <c r="C7" s="8" t="inlineStr">
        <is>
          <t>Somerset County Human Services</t>
        </is>
      </c>
      <c r="D7" s="9" t="inlineStr">
        <is>
          <t>State / regional</t>
        </is>
      </c>
      <c r="E7" s="7" t="n"/>
      <c r="F7" s="7" t="inlineStr">
        <is>
          <t>Next cycle ~early 2027</t>
        </is>
      </c>
      <c r="G7" s="7">
        <f>IF(E7="","",E7-TODAY())</f>
        <v/>
      </c>
      <c r="H7" s="10" t="n">
        <v>5000</v>
      </c>
      <c r="I7" s="10" t="n">
        <v>15000</v>
      </c>
      <c r="J7" s="11">
        <f>IF(AND(H7&lt;&gt;"",I7&lt;&gt;""),AVERAGE(H7:I7),IF(I7&lt;&gt;"",I7*$C$3,IF(H7&lt;&gt;"",H7,"")))</f>
        <v/>
      </c>
      <c r="K7" s="12" t="n">
        <v>0.4</v>
      </c>
      <c r="L7" s="11">
        <f>IF(OR(J7="",K7=""),"",J7*K7)</f>
        <v/>
      </c>
      <c r="M7" s="13" t="inlineStr">
        <is>
          <t>A</t>
        </is>
      </c>
      <c r="N7" s="14" t="n"/>
      <c r="O7" s="14" t="n"/>
      <c r="P7" s="14" t="n"/>
      <c r="Q7" s="8" t="inlineStr">
        <is>
          <t>STRONGEST STRUCTURAL FIT FOUND. 501(c)(3)-only, one-county applicant pool, award sized to the org, application is a statement of interest plus budget. Funded by the county's opioid settlement share - at least $450k/year for 18 years, so a missed cycle is a delay not a loss. Somerset is a priority county.</t>
        </is>
      </c>
    </row>
    <row r="8" ht="46" customHeight="1">
      <c r="A8" s="7" t="n">
        <v>4</v>
      </c>
      <c r="B8" s="8" t="inlineStr">
        <is>
          <t>Empowerment Grant</t>
        </is>
      </c>
      <c r="C8" s="8" t="inlineStr">
        <is>
          <t>Provident Bank Foundation</t>
        </is>
      </c>
      <c r="D8" s="9" t="inlineStr">
        <is>
          <t>Private foundation</t>
        </is>
      </c>
      <c r="E8" s="15" t="n">
        <v>46507</v>
      </c>
      <c r="F8" s="7" t="inlineStr">
        <is>
          <t>Full</t>
        </is>
      </c>
      <c r="G8" s="7">
        <f>IF(E8="","",E8-TODAY())</f>
        <v/>
      </c>
      <c r="H8" s="10" t="n">
        <v>5000</v>
      </c>
      <c r="I8" s="10" t="n">
        <v>25000</v>
      </c>
      <c r="J8" s="11">
        <f>IF(AND(H8&lt;&gt;"",I8&lt;&gt;""),AVERAGE(H8:I8),IF(I8&lt;&gt;"",I8*$C$3,IF(H8&lt;&gt;"",H8,"")))</f>
        <v/>
      </c>
      <c r="K8" s="12" t="n">
        <v>0.35</v>
      </c>
      <c r="L8" s="11">
        <f>IF(OR(J8="",K8=""),"",J8*K8)</f>
        <v/>
      </c>
      <c r="M8" s="13" t="inlineStr">
        <is>
          <t>A</t>
        </is>
      </c>
      <c r="N8" s="14" t="n"/>
      <c r="O8" s="14" t="n"/>
      <c r="P8" s="14" t="n"/>
      <c r="Q8" s="8" t="inlineStr">
        <is>
          <t>CRA-driven giving favors local community orgs. Award size fits budget.</t>
        </is>
      </c>
    </row>
    <row r="9" ht="46" customHeight="1">
      <c r="A9" s="7" t="n">
        <v>5</v>
      </c>
      <c r="B9" s="8" t="inlineStr">
        <is>
          <t>Project ATLAS</t>
        </is>
      </c>
      <c r="C9" s="8" t="inlineStr">
        <is>
          <t>NJ Dept. of State, Office of Faith Based Initiatives</t>
        </is>
      </c>
      <c r="D9" s="9" t="inlineStr">
        <is>
          <t>State / regional</t>
        </is>
      </c>
      <c r="E9" s="15" t="n">
        <v>46444</v>
      </c>
      <c r="F9" s="7" t="inlineStr">
        <is>
          <t>Full</t>
        </is>
      </c>
      <c r="G9" s="7">
        <f>IF(E9="","",E9-TODAY())</f>
        <v/>
      </c>
      <c r="H9" s="10" t="n"/>
      <c r="I9" s="10" t="n">
        <v>10000</v>
      </c>
      <c r="J9" s="11">
        <f>IF(AND(H9&lt;&gt;"",I9&lt;&gt;""),AVERAGE(H9:I9),IF(I9&lt;&gt;"",I9*$C$3,IF(H9&lt;&gt;"",H9,"")))</f>
        <v/>
      </c>
      <c r="K9" s="12" t="n">
        <v>0.35</v>
      </c>
      <c r="L9" s="11">
        <f>IF(OR(J9="",K9=""),"",J9*K9)</f>
        <v/>
      </c>
      <c r="M9" s="13" t="inlineStr">
        <is>
          <t>A</t>
        </is>
      </c>
      <c r="N9" s="14" t="n"/>
      <c r="O9" s="14" t="n"/>
      <c r="P9" s="14" t="n"/>
      <c r="Q9" s="8" t="inlineStr">
        <is>
          <t>State office that exists to fund grassroots community work.</t>
        </is>
      </c>
    </row>
    <row r="10" ht="46" customHeight="1">
      <c r="A10" s="7" t="n">
        <v>6</v>
      </c>
      <c r="B10" s="8" t="inlineStr">
        <is>
          <t>General Operating and Project Grants</t>
        </is>
      </c>
      <c r="C10" s="8" t="inlineStr">
        <is>
          <t>Partners For Health Foundation</t>
        </is>
      </c>
      <c r="D10" s="9" t="inlineStr">
        <is>
          <t>Private foundation</t>
        </is>
      </c>
      <c r="E10" s="15" t="n">
        <v>46441</v>
      </c>
      <c r="F10" s="7" t="inlineStr">
        <is>
          <t>Pre-proposal</t>
        </is>
      </c>
      <c r="G10" s="7">
        <f>IF(E10="","",E10-TODAY())</f>
        <v/>
      </c>
      <c r="H10" s="10" t="n"/>
      <c r="I10" s="10" t="n"/>
      <c r="J10" s="11">
        <f>IF(AND(H10&lt;&gt;"",I10&lt;&gt;""),AVERAGE(H10:I10),IF(I10&lt;&gt;"",I10*$C$3,IF(H10&lt;&gt;"",H10,"")))</f>
        <v/>
      </c>
      <c r="K10" s="12" t="n">
        <v>0.3</v>
      </c>
      <c r="L10" s="11">
        <f>IF(OR(J10="",K10=""),"",J10*K10)</f>
        <v/>
      </c>
      <c r="M10" s="16" t="inlineStr">
        <is>
          <t>B</t>
        </is>
      </c>
      <c r="N10" s="14" t="n"/>
      <c r="O10" s="14" t="n"/>
      <c r="P10" s="14" t="n"/>
      <c r="Q10" s="8" t="inlineStr">
        <is>
          <t>Essex County health funder. GENERAL OPERATING support - rare and worth more per dollar than restricted money. Amount unpublished; confirm range. Verify the org sits inside its service footprint.</t>
        </is>
      </c>
    </row>
    <row r="11" ht="46" customHeight="1">
      <c r="A11" s="7" t="n">
        <v>7</v>
      </c>
      <c r="B11" s="8" t="inlineStr">
        <is>
          <t>Opioid Settlement Funds annual RFA</t>
        </is>
      </c>
      <c r="C11" s="8" t="inlineStr">
        <is>
          <t>Union County OBHSM</t>
        </is>
      </c>
      <c r="D11" s="9" t="inlineStr">
        <is>
          <t>State / regional</t>
        </is>
      </c>
      <c r="E11" s="7" t="n"/>
      <c r="F11" s="7" t="inlineStr">
        <is>
          <t>Next cycle ~early 2027</t>
        </is>
      </c>
      <c r="G11" s="7">
        <f>IF(E11="","",E11-TODAY())</f>
        <v/>
      </c>
      <c r="H11" s="10" t="n"/>
      <c r="I11" s="10" t="n">
        <v>50000</v>
      </c>
      <c r="J11" s="11">
        <f>IF(AND(H11&lt;&gt;"",I11&lt;&gt;""),AVERAGE(H11:I11),IF(I11&lt;&gt;"",I11*$C$3,IF(H11&lt;&gt;"",H11,"")))</f>
        <v/>
      </c>
      <c r="K11" s="12" t="n">
        <v>0.3</v>
      </c>
      <c r="L11" s="11">
        <f>IF(OR(J11="",K11=""),"",J11*K11)</f>
        <v/>
      </c>
      <c r="M11" s="13" t="inlineStr">
        <is>
          <t>A</t>
        </is>
      </c>
      <c r="N11" s="14" t="n"/>
      <c r="O11" s="14" t="n"/>
      <c r="P11" s="14" t="n"/>
      <c r="Q11" s="8" t="inlineStr">
        <is>
          <t>Union County holds ~$17.7M over 18 years (~$980k/yr) for recovery support, treatment, early intervention and harm reduction. RFA 2026-059 closed 2026-03-18, so cycles run late winter. Priority county; a durable relationship rather than a one-off.</t>
        </is>
      </c>
    </row>
    <row r="12" ht="46" customHeight="1">
      <c r="A12" s="7" t="n">
        <v>8</v>
      </c>
      <c r="B12" s="8" t="inlineStr">
        <is>
          <t>Standard Grants</t>
        </is>
      </c>
      <c r="C12" s="8" t="inlineStr">
        <is>
          <t>Healthcare Foundation of New Jersey</t>
        </is>
      </c>
      <c r="D12" s="9" t="inlineStr">
        <is>
          <t>Private foundation</t>
        </is>
      </c>
      <c r="E12" s="15" t="n">
        <v>46345</v>
      </c>
      <c r="F12" s="7" t="inlineStr">
        <is>
          <t>Full</t>
        </is>
      </c>
      <c r="G12" s="7">
        <f>IF(E12="","",E12-TODAY())</f>
        <v/>
      </c>
      <c r="H12" s="10" t="n">
        <v>35000</v>
      </c>
      <c r="I12" s="10" t="n"/>
      <c r="J12" s="11">
        <f>IF(AND(H12&lt;&gt;"",I12&lt;&gt;""),AVERAGE(H12:I12),IF(I12&lt;&gt;"",I12*$C$3,IF(H12&lt;&gt;"",H12,"")))</f>
        <v/>
      </c>
      <c r="K12" s="12" t="n">
        <v>0.25</v>
      </c>
      <c r="L12" s="11">
        <f>IF(OR(J12="",K12=""),"",J12*K12)</f>
        <v/>
      </c>
      <c r="M12" s="16" t="inlineStr">
        <is>
          <t>B</t>
        </is>
      </c>
      <c r="N12" s="14" t="n"/>
      <c r="O12" s="14" t="n"/>
      <c r="P12" s="14" t="n"/>
      <c r="Q12" s="8" t="inlineStr">
        <is>
          <t>3 of 4 priority counties in footprint; reported behavioral health emphasis. OPEN QUESTION: does a non-Federation-affiliated org qualify under the 'vulnerable populations elsewhere in Essex, Morris, Union' clause?</t>
        </is>
      </c>
    </row>
    <row r="13" ht="46" customHeight="1">
      <c r="A13" s="7" t="n">
        <v>9</v>
      </c>
      <c r="B13" s="8" t="inlineStr">
        <is>
          <t>Empower New Jersey Grant</t>
        </is>
      </c>
      <c r="C13" s="8" t="inlineStr">
        <is>
          <t>Community Foundation of New Jersey</t>
        </is>
      </c>
      <c r="D13" s="9" t="inlineStr">
        <is>
          <t>Private foundation</t>
        </is>
      </c>
      <c r="E13" s="15" t="n">
        <v>46295</v>
      </c>
      <c r="F13" s="7" t="inlineStr">
        <is>
          <t>Full</t>
        </is>
      </c>
      <c r="G13" s="7">
        <f>IF(E13="","",E13-TODAY())</f>
        <v/>
      </c>
      <c r="H13" s="10" t="n">
        <v>50000</v>
      </c>
      <c r="I13" s="10" t="n">
        <v>100000</v>
      </c>
      <c r="J13" s="11">
        <f>IF(AND(H13&lt;&gt;"",I13&lt;&gt;""),AVERAGE(H13:I13),IF(I13&lt;&gt;"",I13*$C$3,IF(H13&lt;&gt;"",H13,"")))</f>
        <v/>
      </c>
      <c r="K13" s="12" t="n">
        <v>0.2</v>
      </c>
      <c r="L13" s="11">
        <f>IF(OR(J13="",K13=""),"",J13*K13)</f>
        <v/>
      </c>
      <c r="M13" s="16" t="inlineStr">
        <is>
          <t>B</t>
        </is>
      </c>
      <c r="N13" s="14" t="n"/>
      <c r="O13" s="14" t="n"/>
      <c r="P13" s="14" t="n"/>
      <c r="Q13" s="8" t="inlineStr">
        <is>
          <t>Best effort-to-return balance on the list. If only one thing gets written this fall, this is it.</t>
        </is>
      </c>
    </row>
    <row r="14" ht="46" customHeight="1">
      <c r="A14" s="7" t="n">
        <v>10</v>
      </c>
      <c r="B14" s="8" t="inlineStr">
        <is>
          <t>VAWA Competitive Grant Program</t>
        </is>
      </c>
      <c r="C14" s="8" t="inlineStr">
        <is>
          <t>NJ Dept. of Law &amp; Public Safety</t>
        </is>
      </c>
      <c r="D14" s="9" t="inlineStr">
        <is>
          <t>State / regional</t>
        </is>
      </c>
      <c r="E14" s="15" t="n">
        <v>46553</v>
      </c>
      <c r="F14" s="7" t="inlineStr">
        <is>
          <t>Full</t>
        </is>
      </c>
      <c r="G14" s="7">
        <f>IF(E14="","",E14-TODAY())</f>
        <v/>
      </c>
      <c r="H14" s="10" t="n"/>
      <c r="I14" s="10" t="n">
        <v>75000</v>
      </c>
      <c r="J14" s="11">
        <f>IF(AND(H14&lt;&gt;"",I14&lt;&gt;""),AVERAGE(H14:I14),IF(I14&lt;&gt;"",I14*$C$3,IF(H14&lt;&gt;"",H14,"")))</f>
        <v/>
      </c>
      <c r="K14" s="12" t="n">
        <v>0.2</v>
      </c>
      <c r="L14" s="11">
        <f>IF(OR(J14="",K14=""),"",J14*K14)</f>
        <v/>
      </c>
      <c r="M14" s="16" t="inlineStr">
        <is>
          <t>B</t>
        </is>
      </c>
      <c r="N14" s="14" t="n"/>
      <c r="O14" s="14" t="n"/>
      <c r="P14" s="14" t="n"/>
      <c r="Q14" s="8" t="inlineStr">
        <is>
          <t>Maps onto stated DV prevention work. Will want demonstrated DV programming, not just adjacent capacity.</t>
        </is>
      </c>
    </row>
    <row r="15" ht="46" customHeight="1">
      <c r="A15" s="7" t="n">
        <v>11</v>
      </c>
      <c r="B15" s="8" t="inlineStr">
        <is>
          <t>Awards for Advancing Minority Mental Health</t>
        </is>
      </c>
      <c r="C15" s="8" t="inlineStr">
        <is>
          <t>American Psychiatric Association Foundation</t>
        </is>
      </c>
      <c r="D15" s="9" t="inlineStr">
        <is>
          <t>Private foundation</t>
        </is>
      </c>
      <c r="E15" s="15" t="n">
        <v>46418</v>
      </c>
      <c r="F15" s="7" t="inlineStr">
        <is>
          <t>Full</t>
        </is>
      </c>
      <c r="G15" s="7">
        <f>IF(E15="","",E15-TODAY())</f>
        <v/>
      </c>
      <c r="H15" s="10" t="n">
        <v>5000</v>
      </c>
      <c r="I15" s="10" t="n">
        <v>5000</v>
      </c>
      <c r="J15" s="11">
        <f>IF(AND(H15&lt;&gt;"",I15&lt;&gt;""),AVERAGE(H15:I15),IF(I15&lt;&gt;"",I15*$C$3,IF(H15&lt;&gt;"",H15,"")))</f>
        <v/>
      </c>
      <c r="K15" s="12" t="n">
        <v>0.2</v>
      </c>
      <c r="L15" s="11">
        <f>IF(OR(J15="",K15=""),"",J15*K15)</f>
        <v/>
      </c>
      <c r="M15" s="16" t="inlineStr">
        <is>
          <t>B</t>
        </is>
      </c>
      <c r="N15" s="14" t="n"/>
      <c r="O15" s="14" t="n"/>
      <c r="P15" s="14" t="n"/>
      <c r="Q15" s="8" t="inlineStr">
        <is>
          <t>National pool but tiny award. Real value is the credential, not the cash.</t>
        </is>
      </c>
    </row>
    <row r="16" ht="46" customHeight="1">
      <c r="A16" s="7" t="n">
        <v>12</v>
      </c>
      <c r="B16" s="8" t="inlineStr">
        <is>
          <t>Opioid Settlement priorities</t>
        </is>
      </c>
      <c r="C16" s="8" t="inlineStr">
        <is>
          <t>Morris County Human Services</t>
        </is>
      </c>
      <c r="D16" s="9" t="inlineStr">
        <is>
          <t>State / regional</t>
        </is>
      </c>
      <c r="E16" s="7" t="n"/>
      <c r="F16" s="7" t="inlineStr">
        <is>
          <t>Confirm cycle</t>
        </is>
      </c>
      <c r="G16" s="7">
        <f>IF(E16="","",E16-TODAY())</f>
        <v/>
      </c>
      <c r="H16" s="10" t="n">
        <v>5000</v>
      </c>
      <c r="I16" s="10" t="n"/>
      <c r="J16" s="11">
        <f>IF(AND(H16&lt;&gt;"",I16&lt;&gt;""),AVERAGE(H16:I16),IF(I16&lt;&gt;"",I16*$C$3,IF(H16&lt;&gt;"",H16,"")))</f>
        <v/>
      </c>
      <c r="K16" s="12" t="n">
        <v>0.2</v>
      </c>
      <c r="L16" s="11">
        <f>IF(OR(J16="",K16=""),"",J16*K16)</f>
        <v/>
      </c>
      <c r="M16" s="16" t="inlineStr">
        <is>
          <t>B</t>
        </is>
      </c>
      <c r="N16" s="14" t="n"/>
      <c r="O16" s="14" t="n"/>
      <c r="P16" s="14" t="n"/>
      <c r="Q16" s="8" t="inlineStr">
        <is>
          <t>Minimum request $5,000. Morris is outside the four priority counties but inside HFNJ's Greater MetroWest footprint, so already adjacent to the org's reach.</t>
        </is>
      </c>
    </row>
    <row r="17" ht="46" customHeight="1">
      <c r="A17" s="7" t="n">
        <v>13</v>
      </c>
      <c r="B17" s="8" t="inlineStr">
        <is>
          <t>Champions in Action</t>
        </is>
      </c>
      <c r="C17" s="8" t="inlineStr">
        <is>
          <t>Citizens Charitable Foundation</t>
        </is>
      </c>
      <c r="D17" s="9" t="inlineStr">
        <is>
          <t>Private foundation</t>
        </is>
      </c>
      <c r="E17" s="15" t="n">
        <v>46295</v>
      </c>
      <c r="F17" s="7" t="inlineStr">
        <is>
          <t>Full</t>
        </is>
      </c>
      <c r="G17" s="7">
        <f>IF(E17="","",E17-TODAY())</f>
        <v/>
      </c>
      <c r="H17" s="10" t="n">
        <v>50000</v>
      </c>
      <c r="I17" s="10" t="n">
        <v>50000</v>
      </c>
      <c r="J17" s="11">
        <f>IF(AND(H17&lt;&gt;"",I17&lt;&gt;""),AVERAGE(H17:I17),IF(I17&lt;&gt;"",I17*$C$3,IF(H17&lt;&gt;"",H17,"")))</f>
        <v/>
      </c>
      <c r="K17" s="12" t="n">
        <v>0.18</v>
      </c>
      <c r="L17" s="11">
        <f>IF(OR(J17="",K17=""),"",J17*K17)</f>
        <v/>
      </c>
      <c r="M17" s="16" t="inlineStr">
        <is>
          <t>B</t>
        </is>
      </c>
      <c r="N17" s="14" t="n"/>
      <c r="O17" s="14" t="n"/>
      <c r="P17" s="14" t="n"/>
      <c r="Q17" s="8" t="inlineStr">
        <is>
          <t>UPGRADED 2026-08-23. Budget eligibility confirmed ($250k-$5M; the org qualifies). 2026 theme 'Uplifting Resilient Nonprofits' is broad and favourable. Award is $50k plus volunteer engagement and promotion. CATCH: applicants must host 1-2 volunteer projects for Citizens staff, at least one skills-based - needs a credible plan given client confidentiality.</t>
        </is>
      </c>
    </row>
    <row r="18" ht="46" customHeight="1">
      <c r="A18" s="7" t="n">
        <v>14</v>
      </c>
      <c r="B18" s="8" t="inlineStr">
        <is>
          <t>Pathways to Recovery - Round 2 NGO</t>
        </is>
      </c>
      <c r="C18" s="8" t="inlineStr">
        <is>
          <t>NJ Dept. of Labor &amp; Workforce Dev.</t>
        </is>
      </c>
      <c r="D18" s="9" t="inlineStr">
        <is>
          <t>State / regional</t>
        </is>
      </c>
      <c r="E18" s="15" t="n">
        <v>46472</v>
      </c>
      <c r="F18" s="7" t="inlineStr">
        <is>
          <t>LOI</t>
        </is>
      </c>
      <c r="G18" s="7">
        <f>IF(E18="","",E18-TODAY())</f>
        <v/>
      </c>
      <c r="H18" s="10" t="n"/>
      <c r="I18" s="10" t="n">
        <v>1000000</v>
      </c>
      <c r="J18" s="11">
        <f>IF(AND(H18&lt;&gt;"",I18&lt;&gt;""),AVERAGE(H18:I18),IF(I18&lt;&gt;"",I18*$C$3,IF(H18&lt;&gt;"",H18,"")))</f>
        <v/>
      </c>
      <c r="K18" s="12" t="n">
        <v>0.15</v>
      </c>
      <c r="L18" s="11">
        <f>IF(OR(J18="",K18=""),"",J18*K18)</f>
        <v/>
      </c>
      <c r="M18" s="17" t="inlineStr">
        <is>
          <t>C</t>
        </is>
      </c>
      <c r="N18" s="14" t="n"/>
      <c r="O18" s="14" t="n"/>
      <c r="P18" s="14" t="n"/>
      <c r="Q18" s="8" t="inlineStr">
        <is>
          <t>HIGHEST EXPECTED VALUE on the list. NJ-only pool, NGO-specific track, opioid focus matches directly. Ask well under the cap.</t>
        </is>
      </c>
    </row>
    <row r="19" ht="46" customHeight="1">
      <c r="A19" s="7" t="n">
        <v>15</v>
      </c>
      <c r="B19" s="8" t="inlineStr">
        <is>
          <t>Pathways to Recovery (general)</t>
        </is>
      </c>
      <c r="C19" s="8" t="inlineStr">
        <is>
          <t>NJ Dept. of Labor &amp; Workforce Dev.</t>
        </is>
      </c>
      <c r="D19" s="9" t="inlineStr">
        <is>
          <t>State / regional</t>
        </is>
      </c>
      <c r="E19" s="15" t="n">
        <v>46451</v>
      </c>
      <c r="F19" s="7" t="inlineStr">
        <is>
          <t>LOI</t>
        </is>
      </c>
      <c r="G19" s="7">
        <f>IF(E19="","",E19-TODAY())</f>
        <v/>
      </c>
      <c r="H19" s="10" t="n"/>
      <c r="I19" s="10" t="n">
        <v>1000000</v>
      </c>
      <c r="J19" s="11">
        <f>IF(AND(H19&lt;&gt;"",I19&lt;&gt;""),AVERAGE(H19:I19),IF(I19&lt;&gt;"",I19*$C$3,IF(H19&lt;&gt;"",H19,"")))</f>
        <v/>
      </c>
      <c r="K19" s="12" t="n">
        <v>0.12</v>
      </c>
      <c r="L19" s="11">
        <f>IF(OR(J19="",K19=""),"",J19*K19)</f>
        <v/>
      </c>
      <c r="M19" s="17" t="inlineStr">
        <is>
          <t>C</t>
        </is>
      </c>
      <c r="N19" s="14" t="n"/>
      <c r="O19" s="14" t="n"/>
      <c r="P19" s="14" t="n"/>
      <c r="Q19" s="8" t="inlineStr">
        <is>
          <t>Same program, broader applicant pool than the NGO track.</t>
        </is>
      </c>
    </row>
    <row r="20" ht="46" customHeight="1">
      <c r="A20" s="7" t="n">
        <v>16</v>
      </c>
      <c r="B20" s="8" t="inlineStr">
        <is>
          <t>Specific Population Community Grant</t>
        </is>
      </c>
      <c r="C20" s="8" t="inlineStr">
        <is>
          <t>NJ Dept. of Health</t>
        </is>
      </c>
      <c r="D20" s="9" t="inlineStr">
        <is>
          <t>State / regional</t>
        </is>
      </c>
      <c r="E20" s="15" t="n">
        <v>46525</v>
      </c>
      <c r="F20" s="7" t="inlineStr">
        <is>
          <t>LOI</t>
        </is>
      </c>
      <c r="G20" s="7">
        <f>IF(E20="","",E20-TODAY())</f>
        <v/>
      </c>
      <c r="H20" s="10" t="n"/>
      <c r="I20" s="10" t="n">
        <v>500000</v>
      </c>
      <c r="J20" s="11">
        <f>IF(AND(H20&lt;&gt;"",I20&lt;&gt;""),AVERAGE(H20:I20),IF(I20&lt;&gt;"",I20*$C$3,IF(H20&lt;&gt;"",H20,"")))</f>
        <v/>
      </c>
      <c r="K20" s="12" t="n">
        <v>0.12</v>
      </c>
      <c r="L20" s="11">
        <f>IF(OR(J20="",K20=""),"",J20*K20)</f>
        <v/>
      </c>
      <c r="M20" s="17" t="inlineStr">
        <is>
          <t>C</t>
        </is>
      </c>
      <c r="N20" s="14" t="n"/>
      <c r="O20" s="14" t="n"/>
      <c r="P20" s="14" t="n"/>
      <c r="Q20" s="8" t="inlineStr">
        <is>
          <t>Justice-involved qualifies as a specific population. Award size demands strong fiscal infrastructure.</t>
        </is>
      </c>
    </row>
    <row r="21" ht="46" customHeight="1">
      <c r="A21" s="7" t="n">
        <v>17</v>
      </c>
      <c r="B21" s="8" t="inlineStr">
        <is>
          <t>Therapeutic Giving: Neuroscience - Local &amp; Regional</t>
        </is>
      </c>
      <c r="C21" s="8" t="inlineStr">
        <is>
          <t>Johnson &amp; Johnson Innovative Medicine</t>
        </is>
      </c>
      <c r="D21" s="9" t="inlineStr">
        <is>
          <t>Private foundation</t>
        </is>
      </c>
      <c r="E21" s="15" t="n">
        <v>46538</v>
      </c>
      <c r="F21" s="7" t="inlineStr">
        <is>
          <t>Full</t>
        </is>
      </c>
      <c r="G21" s="7">
        <f>IF(E21="","",E21-TODAY())</f>
        <v/>
      </c>
      <c r="H21" s="10" t="n"/>
      <c r="I21" s="10" t="n"/>
      <c r="J21" s="11">
        <f>IF(AND(H21&lt;&gt;"",I21&lt;&gt;""),AVERAGE(H21:I21),IF(I21&lt;&gt;"",I21*$C$3,IF(H21&lt;&gt;"",H21,"")))</f>
        <v/>
      </c>
      <c r="K21" s="12" t="n">
        <v>0.12</v>
      </c>
      <c r="L21" s="11">
        <f>IF(OR(J21="",K21=""),"",J21*K21)</f>
        <v/>
      </c>
      <c r="M21" s="17" t="inlineStr">
        <is>
          <t>C</t>
        </is>
      </c>
      <c r="N21" s="14" t="n"/>
      <c r="O21" s="14" t="n"/>
      <c r="P21" s="14" t="n"/>
      <c r="Q21" s="8" t="inlineStr">
        <is>
          <t>Corporate giving with a local/regional track; mental health sits under its neuroscience umbrella. Pharma giving tends to favor established orgs and clinically-adjacent work, which caps the odds. Amount unpublished.</t>
        </is>
      </c>
    </row>
    <row r="22" ht="46" customHeight="1">
      <c r="A22" s="7" t="n">
        <v>18</v>
      </c>
      <c r="B22" s="8" t="inlineStr">
        <is>
          <t>Citizens Philanthropic Foundation: Workforce Development</t>
        </is>
      </c>
      <c r="C22" s="8" t="inlineStr">
        <is>
          <t>Citizens Philanthropic Foundation</t>
        </is>
      </c>
      <c r="D22" s="9" t="inlineStr">
        <is>
          <t>Private foundation</t>
        </is>
      </c>
      <c r="E22" s="15" t="n">
        <v>46529</v>
      </c>
      <c r="F22" s="7" t="inlineStr">
        <is>
          <t>Full</t>
        </is>
      </c>
      <c r="G22" s="7">
        <f>IF(E22="","",E22-TODAY())</f>
        <v/>
      </c>
      <c r="H22" s="10" t="n"/>
      <c r="I22" s="10" t="n"/>
      <c r="J22" s="11">
        <f>IF(AND(H22&lt;&gt;"",I22&lt;&gt;""),AVERAGE(H22:I22),IF(I22&lt;&gt;"",I22*$C$3,IF(H22&lt;&gt;"",H22,"")))</f>
        <v/>
      </c>
      <c r="K22" s="12" t="n">
        <v>0.12</v>
      </c>
      <c r="L22" s="11">
        <f>IF(OR(J22="",K22=""),"",J22*K22)</f>
        <v/>
      </c>
      <c r="M22" s="17" t="inlineStr">
        <is>
          <t>C</t>
        </is>
      </c>
      <c r="N22" s="14" t="n"/>
      <c r="O22" s="14" t="n"/>
      <c r="P22" s="14" t="n"/>
      <c r="Q22" s="8" t="inlineStr">
        <is>
          <t>Reentry employment is a workable framing. Note this is the same corporate family as Champions in Action - a relationship built through one may help the other. Amount unpublished.</t>
        </is>
      </c>
    </row>
    <row r="23" ht="46" customHeight="1">
      <c r="A23" s="7" t="n">
        <v>19</v>
      </c>
      <c r="B23" s="8" t="inlineStr">
        <is>
          <t>Job Opportunities for Building Success</t>
        </is>
      </c>
      <c r="C23" s="8" t="inlineStr">
        <is>
          <t>NJ Dept. of Labor &amp; Workforce Dev.</t>
        </is>
      </c>
      <c r="D23" s="9" t="inlineStr">
        <is>
          <t>State / regional</t>
        </is>
      </c>
      <c r="E23" s="15" t="n">
        <v>46450</v>
      </c>
      <c r="F23" s="7" t="inlineStr">
        <is>
          <t>LOI</t>
        </is>
      </c>
      <c r="G23" s="7">
        <f>IF(E23="","",E23-TODAY())</f>
        <v/>
      </c>
      <c r="H23" s="10" t="n"/>
      <c r="I23" s="10" t="n">
        <v>1000000</v>
      </c>
      <c r="J23" s="11">
        <f>IF(AND(H23&lt;&gt;"",I23&lt;&gt;""),AVERAGE(H23:I23),IF(I23&lt;&gt;"",I23*$C$3,IF(H23&lt;&gt;"",H23,"")))</f>
        <v/>
      </c>
      <c r="K23" s="12" t="n">
        <v>0.1</v>
      </c>
      <c r="L23" s="11">
        <f>IF(OR(J23="",K23=""),"",J23*K23)</f>
        <v/>
      </c>
      <c r="M23" s="17" t="inlineStr">
        <is>
          <t>C</t>
        </is>
      </c>
      <c r="N23" s="14" t="n"/>
      <c r="O23" s="14" t="n"/>
      <c r="P23" s="14" t="n"/>
      <c r="Q23" s="8" t="inlineStr">
        <is>
          <t>Reentry employment framing works, but competitors are established workforce development agencies.</t>
        </is>
      </c>
    </row>
    <row r="24" ht="46" customHeight="1">
      <c r="A24" s="7" t="n">
        <v>20</v>
      </c>
      <c r="B24" s="8" t="inlineStr">
        <is>
          <t>Family foundations (Scripps, Kim/Kayasa, Bernau, Scaife)</t>
        </is>
      </c>
      <c r="C24" s="8" t="inlineStr">
        <is>
          <t>Various</t>
        </is>
      </c>
      <c r="D24" s="9" t="inlineStr">
        <is>
          <t>Private foundation</t>
        </is>
      </c>
      <c r="E24" s="7" t="n"/>
      <c r="F24" s="7" t="inlineStr">
        <is>
          <t>Rolling / 2027</t>
        </is>
      </c>
      <c r="G24" s="7">
        <f>IF(E24="","",E24-TODAY())</f>
        <v/>
      </c>
      <c r="H24" s="10" t="n"/>
      <c r="I24" s="10" t="n"/>
      <c r="J24" s="11">
        <f>IF(AND(H24&lt;&gt;"",I24&lt;&gt;""),AVERAGE(H24:I24),IF(I24&lt;&gt;"",I24*$C$3,IF(H24&lt;&gt;"",H24,"")))</f>
        <v/>
      </c>
      <c r="K24" s="12" t="n">
        <v>0.1</v>
      </c>
      <c r="L24" s="11">
        <f>IF(OR(J24="",K24=""),"",J24*K24)</f>
        <v/>
      </c>
      <c r="M24" s="18" t="inlineStr">
        <is>
          <t>D</t>
        </is>
      </c>
      <c r="N24" s="14" t="n"/>
      <c r="O24" s="14" t="n"/>
      <c r="P24" s="14" t="n"/>
      <c r="Q24" s="8" t="inlineStr">
        <is>
          <t>Priorities unpublished; many small family foundations are effectively invitation-only. Pull Form 990s before writing - 15 min each tells you whether they accept unsolicited requests at all.</t>
        </is>
      </c>
    </row>
    <row r="25" ht="46" customHeight="1">
      <c r="A25" s="7" t="n">
        <v>21</v>
      </c>
      <c r="B25" s="8" t="inlineStr">
        <is>
          <t>Get Out and Get Active Grant</t>
        </is>
      </c>
      <c r="C25" s="8" t="inlineStr">
        <is>
          <t>Anxiety &amp; Depression Initiative</t>
        </is>
      </c>
      <c r="D25" s="9" t="inlineStr">
        <is>
          <t>Private foundation</t>
        </is>
      </c>
      <c r="E25" s="15" t="n">
        <v>46504</v>
      </c>
      <c r="F25" s="7" t="inlineStr">
        <is>
          <t>Full</t>
        </is>
      </c>
      <c r="G25" s="7">
        <f>IF(E25="","",E25-TODAY())</f>
        <v/>
      </c>
      <c r="H25" s="10" t="n"/>
      <c r="I25" s="10" t="n">
        <v>10000</v>
      </c>
      <c r="J25" s="11">
        <f>IF(AND(H25&lt;&gt;"",I25&lt;&gt;""),AVERAGE(H25:I25),IF(I25&lt;&gt;"",I25*$C$3,IF(H25&lt;&gt;"",H25,"")))</f>
        <v/>
      </c>
      <c r="K25" s="12" t="n">
        <v>0.1</v>
      </c>
      <c r="L25" s="11">
        <f>IF(OR(J25="",K25=""),"",J25*K25)</f>
        <v/>
      </c>
      <c r="M25" s="17" t="inlineStr">
        <is>
          <t>C</t>
        </is>
      </c>
      <c r="N25" s="14" t="n"/>
      <c r="O25" s="14" t="n"/>
      <c r="P25" s="14" t="n"/>
      <c r="Q25" s="8" t="inlineStr">
        <is>
          <t>PARTIAL FIT: this funder targets physical activity as an intervention for anxiety and depression. The org does psychoeducation and emotional wellness, not movement programming - a competitive application would need a genuine activity-based component, not a relabelling of existing workshops.</t>
        </is>
      </c>
    </row>
    <row r="26" ht="46" customHeight="1">
      <c r="A26" s="7" t="n">
        <v>22</v>
      </c>
      <c r="B26" s="8" t="inlineStr">
        <is>
          <t>JAMS Foundation NAFCM Mini-Grant Program</t>
        </is>
      </c>
      <c r="C26" s="8" t="inlineStr">
        <is>
          <t>JAMS Foundation</t>
        </is>
      </c>
      <c r="D26" s="9" t="inlineStr">
        <is>
          <t>Private foundation</t>
        </is>
      </c>
      <c r="E26" s="15" t="n">
        <v>46441</v>
      </c>
      <c r="F26" s="7" t="inlineStr">
        <is>
          <t>LOI</t>
        </is>
      </c>
      <c r="G26" s="7">
        <f>IF(E26="","",E26-TODAY())</f>
        <v/>
      </c>
      <c r="H26" s="10" t="n"/>
      <c r="I26" s="10" t="n">
        <v>15000</v>
      </c>
      <c r="J26" s="11">
        <f>IF(AND(H26&lt;&gt;"",I26&lt;&gt;""),AVERAGE(H26:I26),IF(I26&lt;&gt;"",I26*$C$3,IF(H26&lt;&gt;"",H26,"")))</f>
        <v/>
      </c>
      <c r="K26" s="12" t="n">
        <v>0.08</v>
      </c>
      <c r="L26" s="11">
        <f>IF(OR(J26="",K26=""),"",J26*K26)</f>
        <v/>
      </c>
      <c r="M26" s="18" t="inlineStr">
        <is>
          <t>D</t>
        </is>
      </c>
      <c r="N26" s="14" t="n"/>
      <c r="O26" s="14" t="n"/>
      <c r="P26" s="14" t="n"/>
      <c r="Q26" s="8" t="inlineStr">
        <is>
          <t>ELIGIBILITY RISK: administered with the National Association for Community Mediation and generally aimed at NAFCM member community mediation centers. The org is not a mediation center. Anger management and healthy communication workshops map to the subject matter, but confirm whether non-member organizations can apply at all before spending time here.</t>
        </is>
      </c>
    </row>
    <row r="27" ht="46" customHeight="1">
      <c r="A27" s="7" t="n">
        <v>23</v>
      </c>
      <c r="B27" s="8" t="inlineStr">
        <is>
          <t>Citizens Philanthropic Foundation: Financial Empowerment</t>
        </is>
      </c>
      <c r="C27" s="8" t="inlineStr">
        <is>
          <t>Citizens Philanthropic Foundation</t>
        </is>
      </c>
      <c r="D27" s="9" t="inlineStr">
        <is>
          <t>Private foundation</t>
        </is>
      </c>
      <c r="E27" s="15" t="n">
        <v>46357</v>
      </c>
      <c r="F27" s="7" t="inlineStr">
        <is>
          <t>Pre-proposal</t>
        </is>
      </c>
      <c r="G27" s="7">
        <f>IF(E27="","",E27-TODAY())</f>
        <v/>
      </c>
      <c r="H27" s="10" t="n"/>
      <c r="I27" s="10" t="n"/>
      <c r="J27" s="11">
        <f>IF(AND(H27&lt;&gt;"",I27&lt;&gt;""),AVERAGE(H27:I27),IF(I27&lt;&gt;"",I27*$C$3,IF(H27&lt;&gt;"",H27,"")))</f>
        <v/>
      </c>
      <c r="K27" s="12" t="n">
        <v>0.08</v>
      </c>
      <c r="L27" s="11">
        <f>IF(OR(J27="",K27=""),"",J27*K27)</f>
        <v/>
      </c>
      <c r="M27" s="18" t="inlineStr">
        <is>
          <t>D</t>
        </is>
      </c>
      <c r="N27" s="14" t="n"/>
      <c r="O27" s="14" t="n"/>
      <c r="P27" s="14" t="n"/>
      <c r="Q27" s="8" t="inlineStr">
        <is>
          <t>Weakest fit of the five: this track funds financial literacy and coaching, which the org does not currently deliver. Nearest deadline of the group, but would require standing up a service line rather than describing one.</t>
        </is>
      </c>
    </row>
    <row r="28" ht="46" customHeight="1">
      <c r="A28" s="7" t="n">
        <v>24</v>
      </c>
      <c r="B28" s="8" t="inlineStr">
        <is>
          <t>Second Chance Act - Family-Based SUD Treatment</t>
        </is>
      </c>
      <c r="C28" s="8" t="inlineStr">
        <is>
          <t>US DOJ, BJA</t>
        </is>
      </c>
      <c r="D28" s="9" t="inlineStr">
        <is>
          <t>Federal</t>
        </is>
      </c>
      <c r="E28" s="15" t="n">
        <v>46289</v>
      </c>
      <c r="F28" s="7" t="inlineStr">
        <is>
          <t>Full</t>
        </is>
      </c>
      <c r="G28" s="7">
        <f>IF(E28="","",E28-TODAY())</f>
        <v/>
      </c>
      <c r="H28" s="10" t="n"/>
      <c r="I28" s="10" t="n">
        <v>1000000</v>
      </c>
      <c r="J28" s="11">
        <f>IF(AND(H28&lt;&gt;"",I28&lt;&gt;""),AVERAGE(H28:I28),IF(I28&lt;&gt;"",I28*$C$3,IF(H28&lt;&gt;"",H28,"")))</f>
        <v/>
      </c>
      <c r="K28" s="12" t="n">
        <v>0.06</v>
      </c>
      <c r="L28" s="11">
        <f>IF(OR(J28="",K28=""),"",J28*K28)</f>
        <v/>
      </c>
      <c r="M28" s="18" t="inlineStr">
        <is>
          <t>D</t>
        </is>
      </c>
      <c r="N28" s="14" t="n"/>
      <c r="O28" s="14" t="n"/>
      <c r="P28" s="14" t="n"/>
      <c r="Q28" s="8" t="inlineStr">
        <is>
          <t>BEST MISSION FIT on the entire list. Barriers: national competition, 3x-budget award, and the 'treatment provider' question (org refers out to IOP rather than treating directly). Pursue as partner/sub-awardee.</t>
        </is>
      </c>
    </row>
    <row r="29" ht="46" customHeight="1">
      <c r="A29" s="7" t="n">
        <v>25</v>
      </c>
      <c r="B29" s="8" t="inlineStr">
        <is>
          <t>Second Chance Act - Reentry Education &amp; Employment</t>
        </is>
      </c>
      <c r="C29" s="8" t="inlineStr">
        <is>
          <t>US DOJ, BJA</t>
        </is>
      </c>
      <c r="D29" s="9" t="inlineStr">
        <is>
          <t>Federal</t>
        </is>
      </c>
      <c r="E29" s="15" t="n">
        <v>46289</v>
      </c>
      <c r="F29" s="7" t="inlineStr">
        <is>
          <t>Full</t>
        </is>
      </c>
      <c r="G29" s="7">
        <f>IF(E29="","",E29-TODAY())</f>
        <v/>
      </c>
      <c r="H29" s="10" t="n"/>
      <c r="I29" s="10" t="n">
        <v>1000000</v>
      </c>
      <c r="J29" s="11">
        <f>IF(AND(H29&lt;&gt;"",I29&lt;&gt;""),AVERAGE(H29:I29),IF(I29&lt;&gt;"",I29*$C$3,IF(H29&lt;&gt;"",H29,"")))</f>
        <v/>
      </c>
      <c r="K29" s="12" t="n">
        <v>0.05</v>
      </c>
      <c r="L29" s="11">
        <f>IF(OR(J29="",K29=""),"",J29*K29)</f>
        <v/>
      </c>
      <c r="M29" s="18" t="inlineStr">
        <is>
          <t>D</t>
        </is>
      </c>
      <c r="N29" s="14" t="n"/>
      <c r="O29" s="14" t="n"/>
      <c r="P29" s="14" t="n"/>
      <c r="Q29" s="8" t="inlineStr">
        <is>
          <t>Federal reentry competitions draw established national providers with prior DOJ awards. Pursue as partner/sub-awardee.</t>
        </is>
      </c>
    </row>
    <row r="30" ht="46" customHeight="1">
      <c r="A30" s="7" t="n">
        <v>26</v>
      </c>
      <c r="B30" s="8" t="inlineStr">
        <is>
          <t>Project Grant</t>
        </is>
      </c>
      <c r="C30" s="8" t="inlineStr">
        <is>
          <t>State Justice Institute</t>
        </is>
      </c>
      <c r="D30" s="9" t="inlineStr">
        <is>
          <t>Federal</t>
        </is>
      </c>
      <c r="E30" s="15" t="n">
        <v>46327</v>
      </c>
      <c r="F30" s="7" t="inlineStr">
        <is>
          <t>Full</t>
        </is>
      </c>
      <c r="G30" s="7">
        <f>IF(E30="","",E30-TODAY())</f>
        <v/>
      </c>
      <c r="H30" s="10" t="n"/>
      <c r="I30" s="10" t="n">
        <v>300000</v>
      </c>
      <c r="J30" s="11">
        <f>IF(AND(H30&lt;&gt;"",I30&lt;&gt;""),AVERAGE(H30:I30),IF(I30&lt;&gt;"",I30*$C$3,IF(H30&lt;&gt;"",H30,"")))</f>
        <v/>
      </c>
      <c r="K30" s="12" t="n">
        <v>0.05</v>
      </c>
      <c r="L30" s="11">
        <f>IF(OR(J30="",K30=""),"",J30*K30)</f>
        <v/>
      </c>
      <c r="M30" s="18" t="inlineStr">
        <is>
          <t>D</t>
        </is>
      </c>
      <c r="N30" s="14" t="n"/>
      <c r="O30" s="14" t="n"/>
      <c r="P30" s="14" t="n"/>
      <c r="Q30" s="8" t="inlineStr">
        <is>
          <t>SJI funds court systems. Realistic path is as named program partner on a court-led application - the recovery court relationship could support that.</t>
        </is>
      </c>
    </row>
    <row r="31" ht="46" customHeight="1">
      <c r="A31" s="7" t="n">
        <v>27</v>
      </c>
      <c r="B31" s="8" t="inlineStr">
        <is>
          <t>SNAP STEPS</t>
        </is>
      </c>
      <c r="C31" s="8" t="inlineStr">
        <is>
          <t>NJ Dept. of Labor &amp; Workforce Dev.</t>
        </is>
      </c>
      <c r="D31" s="9" t="inlineStr">
        <is>
          <t>State / regional</t>
        </is>
      </c>
      <c r="E31" s="15" t="n">
        <v>46277</v>
      </c>
      <c r="F31" s="7" t="inlineStr">
        <is>
          <t>LOI</t>
        </is>
      </c>
      <c r="G31" s="7">
        <f>IF(E31="","",E31-TODAY())</f>
        <v/>
      </c>
      <c r="H31" s="10" t="n"/>
      <c r="I31" s="10" t="n">
        <v>500000</v>
      </c>
      <c r="J31" s="11">
        <f>IF(AND(H31&lt;&gt;"",I31&lt;&gt;""),AVERAGE(H31:I31),IF(I31&lt;&gt;"",I31*$C$3,IF(H31&lt;&gt;"",H31,"")))</f>
        <v/>
      </c>
      <c r="K31" s="12" t="n"/>
      <c r="L31" s="11">
        <f>IF(OR(J31="",K31=""),"",J31*K31)</f>
        <v/>
      </c>
      <c r="M31" s="19" t="inlineStr">
        <is>
          <t>E</t>
        </is>
      </c>
      <c r="N31" s="14" t="n"/>
      <c r="O31" s="14" t="n"/>
      <c r="P31" s="14" t="n"/>
      <c r="Q31" s="8" t="inlineStr">
        <is>
          <t>VERIFY FIRST: near-term LOI. Overlap with reentry population is real but the org would need a workforce services track record.</t>
        </is>
      </c>
    </row>
    <row r="32" ht="46" customHeight="1">
      <c r="A32" s="7" t="n">
        <v>28</v>
      </c>
      <c r="B32" s="8" t="inlineStr">
        <is>
          <t>Preventive Health Services Grant Program</t>
        </is>
      </c>
      <c r="C32" s="8" t="inlineStr">
        <is>
          <t>NJ Dept. of Health</t>
        </is>
      </c>
      <c r="D32" s="9" t="inlineStr">
        <is>
          <t>State / regional</t>
        </is>
      </c>
      <c r="E32" s="15" t="n">
        <v>46343</v>
      </c>
      <c r="F32" s="7" t="inlineStr">
        <is>
          <t>Full</t>
        </is>
      </c>
      <c r="G32" s="7">
        <f>IF(E32="","",E32-TODAY())</f>
        <v/>
      </c>
      <c r="H32" s="10" t="n"/>
      <c r="I32" s="10" t="n">
        <v>535000</v>
      </c>
      <c r="J32" s="11">
        <f>IF(AND(H32&lt;&gt;"",I32&lt;&gt;""),AVERAGE(H32:I32),IF(I32&lt;&gt;"",I32*$C$3,IF(H32&lt;&gt;"",H32,"")))</f>
        <v/>
      </c>
      <c r="K32" s="12" t="n"/>
      <c r="L32" s="11">
        <f>IF(OR(J32="",K32=""),"",J32*K32)</f>
        <v/>
      </c>
      <c r="M32" s="19" t="inlineStr">
        <is>
          <t>E</t>
        </is>
      </c>
      <c r="N32" s="14" t="n"/>
      <c r="O32" s="14" t="n"/>
      <c r="P32" s="14" t="n"/>
      <c r="Q32" s="8" t="inlineStr">
        <is>
          <t>VERIFY FIRST: confirm community nonprofits are eligible applicants rather than local health departments.</t>
        </is>
      </c>
    </row>
    <row r="33" ht="46" customHeight="1">
      <c r="A33" s="7" t="n">
        <v>29</v>
      </c>
      <c r="B33" s="8" t="inlineStr">
        <is>
          <t>Omnibus Eviction and Homelessness Prevention</t>
        </is>
      </c>
      <c r="C33" s="8" t="inlineStr">
        <is>
          <t>NJ Dept. of Community Affairs</t>
        </is>
      </c>
      <c r="D33" s="9" t="inlineStr">
        <is>
          <t>State / regional</t>
        </is>
      </c>
      <c r="E33" s="15" t="n">
        <v>46358</v>
      </c>
      <c r="F33" s="7" t="inlineStr">
        <is>
          <t>Full</t>
        </is>
      </c>
      <c r="G33" s="7">
        <f>IF(E33="","",E33-TODAY())</f>
        <v/>
      </c>
      <c r="H33" s="10" t="n"/>
      <c r="I33" s="10" t="n"/>
      <c r="J33" s="11">
        <f>IF(AND(H33&lt;&gt;"",I33&lt;&gt;""),AVERAGE(H33:I33),IF(I33&lt;&gt;"",I33*$C$3,IF(H33&lt;&gt;"",H33,"")))</f>
        <v/>
      </c>
      <c r="K33" s="12" t="n"/>
      <c r="L33" s="11">
        <f>IF(OR(J33="",K33=""),"",J33*K33)</f>
        <v/>
      </c>
      <c r="M33" s="19" t="inlineStr">
        <is>
          <t>E</t>
        </is>
      </c>
      <c r="N33" s="14" t="n"/>
      <c r="O33" s="14" t="n"/>
      <c r="P33" s="14" t="n"/>
      <c r="Q33" s="8" t="inlineStr">
        <is>
          <t>VERIFY FIRST: housing stability is adjacent to reentry wraparound; founder's lived experience with homelessness is relevant framing. Second RFP 2026-12-09.</t>
        </is>
      </c>
    </row>
    <row r="34" ht="46" customHeight="1">
      <c r="A34" s="7" t="n">
        <v>30</v>
      </c>
      <c r="B34" s="8" t="inlineStr">
        <is>
          <t>Chronic Disease Prevention Grant</t>
        </is>
      </c>
      <c r="C34" s="8" t="inlineStr">
        <is>
          <t>NJ Dept. of Health</t>
        </is>
      </c>
      <c r="D34" s="9" t="inlineStr">
        <is>
          <t>State / regional</t>
        </is>
      </c>
      <c r="E34" s="15" t="n">
        <v>46379</v>
      </c>
      <c r="F34" s="7" t="inlineStr">
        <is>
          <t>LOI</t>
        </is>
      </c>
      <c r="G34" s="7">
        <f>IF(E34="","",E34-TODAY())</f>
        <v/>
      </c>
      <c r="H34" s="10" t="n"/>
      <c r="I34" s="10" t="n">
        <v>150000</v>
      </c>
      <c r="J34" s="11">
        <f>IF(AND(H34&lt;&gt;"",I34&lt;&gt;""),AVERAGE(H34:I34),IF(I34&lt;&gt;"",I34*$C$3,IF(H34&lt;&gt;"",H34,"")))</f>
        <v/>
      </c>
      <c r="K34" s="12" t="n"/>
      <c r="L34" s="11">
        <f>IF(OR(J34="",K34=""),"",J34*K34)</f>
        <v/>
      </c>
      <c r="M34" s="19" t="inlineStr">
        <is>
          <t>E</t>
        </is>
      </c>
      <c r="N34" s="14" t="n"/>
      <c r="O34" s="14" t="n"/>
      <c r="P34" s="14" t="n"/>
      <c r="Q34" s="8" t="inlineStr">
        <is>
          <t>VERIFY FIRST: often targeted at diabetes/cardiovascular - confirm behavioral health is in scope this cycle.</t>
        </is>
      </c>
    </row>
    <row r="36">
      <c r="B36" s="20" t="inlineStr">
        <is>
          <t>TOTAL PIPELINE</t>
        </is>
      </c>
      <c r="J36" s="21">
        <f>SUM(J5:J34)</f>
        <v/>
      </c>
      <c r="L36" s="21">
        <f>SUM(L5:L34)</f>
        <v/>
      </c>
      <c r="M36" s="5" t="inlineStr">
        <is>
          <t>&lt;- risk-weighted</t>
        </is>
      </c>
    </row>
    <row r="38" ht="28" customHeight="1">
      <c r="B38" s="2" t="inlineStr">
        <is>
          <t>Expected Value = Planning Amount x Est. Win %. It is the risk-weighted worth of pursuing an item, NOT a forecast of what you will receive. Sorting by it gives a different order than sorting by likelihood - both are worth looking at.</t>
        </is>
      </c>
    </row>
  </sheetData>
  <autoFilter ref="A4:Q34"/>
  <mergeCells count="2">
    <mergeCell ref="A2:Q2"/>
    <mergeCell ref="B38:Q38"/>
  </mergeCells>
  <dataValidations count="1">
    <dataValidation sqref="N5:N34" showDropDown="0" showInputMessage="0" showErrorMessage="0" allowBlank="1" type="list">
      <formula1>"Not started,Researching,Drafting,Submitted,Awarded,Declined,Skipped"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60" customWidth="1" min="3" max="3"/>
  </cols>
  <sheetData>
    <row r="1">
      <c r="A1" s="22" t="inlineStr">
        <is>
          <t>Screened out - and why</t>
        </is>
      </c>
    </row>
    <row r="2">
      <c r="A2" s="5" t="inlineStr">
        <is>
          <t>Roughly 26 of the ~80 listed opportunities were removed. Reasons are stated so any of them can be overruled.</t>
        </is>
      </c>
    </row>
    <row r="4">
      <c r="A4" s="23" t="inlineStr">
        <is>
          <t>Reason</t>
        </is>
      </c>
      <c r="B4" s="23" t="inlineStr">
        <is>
          <t>Opportunities</t>
        </is>
      </c>
      <c r="C4" s="23" t="inlineStr">
        <is>
          <t>Explanation</t>
        </is>
      </c>
    </row>
    <row r="5" ht="100" customHeight="1">
      <c r="A5" s="24" t="inlineStr">
        <is>
          <t>Research institution required</t>
        </is>
      </c>
      <c r="B5" s="25" t="inlineStr">
        <is>
          <t>All NIH mechanisms (R61/R33, P50, P30, K12, R25, U01, NIDA Core Center, HEAL IMPOWR/BEACON, Pilot &amp; Feasibility, Specialized Alcohol Research Centers, AIDS Research Center, TCORS); CDC research cooperative agreements (Improving Linkage to Care, Nonfatal Overdoses in EDs, Core SIPP, Alcohol Epidemiology, NNPTC); PCORI Engagement Award; BJS CHRARP; National Research Center for Promoting Work and Strong Families; Applied Drug Policy Research Experiences; NJ Commission on Brain Injury Research; DoD/Army TBI awards</t>
        </is>
      </c>
      <c r="C5" s="25" t="inlineStr">
        <is>
          <t>Require an academic or research institution, a named principal investigator, and IRB infrastructure the org does not have.</t>
        </is>
      </c>
    </row>
    <row r="6" ht="100" customHeight="1">
      <c r="A6" s="24" t="inlineStr">
        <is>
          <t>State or government applicant only</t>
        </is>
      </c>
      <c r="B6" s="25" t="inlineStr">
        <is>
          <t>Comprehensive Suicide Prevention Program for States; SSUS State STD Program; SSUS HIV Services; Public Health Emergency Preparedness LINCS; Public Health Leadership and Workforce Development; Comprehensive Cancer Control (both listings); Diabetes Capacity Building; Rural Health Transformation ($27.5M); 988 Lifeline Administrator ($231M); Disaster Distress Helpline</t>
        </is>
      </c>
      <c r="C6" s="25" t="inlineStr">
        <is>
          <t>Applicant must be a state agency or a designated statewide administrator.</t>
        </is>
      </c>
    </row>
    <row r="7" ht="100" customHeight="1">
      <c r="A7" s="24" t="inlineStr">
        <is>
          <t>National TTA-provider scale</t>
        </is>
      </c>
      <c r="B7" s="25" t="inlineStr">
        <is>
          <t>FY2026 Drug Court Training and Technical Assistance ($6M); RSAT for State Prisoners TTA (both listings); CSBG Essentials for Improved Outcomes; CSBG Communities of Practice; Center for SUD Pharmacotherapeutics</t>
        </is>
      </c>
      <c r="C7" s="25" t="inlineStr">
        <is>
          <t>National training-and-TA contracts awarded to large established intermediaries. CSBG additionally routes through designated Community Action Agencies.</t>
        </is>
      </c>
    </row>
    <row r="8" ht="100" customHeight="1">
      <c r="A8" s="24" t="inlineStr">
        <is>
          <t>Geography or topic mismatch</t>
        </is>
      </c>
      <c r="B8" s="25" t="inlineStr">
        <is>
          <t>Rural Opioid Technical Assistance Centers; Rural Communities Opioid Response (Evaluation, and Community Systems Development); Consolidated ABS/IELCE; Community Library Adult Literacy; Affordable Housing and Supportive Services Demonstration; Comer Family Foundation Syringe Service Program</t>
        </is>
      </c>
      <c r="C8" s="25" t="inlineStr">
        <is>
          <t>The four priority counties are not rural; adult literacy and housing development are outside scope; syringe services are not a current program.</t>
        </is>
      </c>
    </row>
    <row r="9" ht="100" customHeight="1">
      <c r="A9" s="24" t="inlineStr">
        <is>
          <t>Not applicable</t>
        </is>
      </c>
      <c r="B9" s="25" t="inlineStr">
        <is>
          <t>HFNJ Renewal Grants (2026-11-19)</t>
        </is>
      </c>
      <c r="C9" s="25" t="inlineStr">
        <is>
          <t>Open only to existing HFNJ grantees. Becomes relevant after a first HFNJ award.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24" customHeight="1">
      <c r="A1" s="26" t="inlineStr">
        <is>
          <t>How these estimates were made</t>
        </is>
      </c>
    </row>
    <row r="2" ht="66" customHeight="1">
      <c r="A2" s="27" t="inlineStr">
        <is>
          <t>What they are</t>
        </is>
      </c>
      <c r="B2" s="28" t="inlineStr">
        <is>
          <t>Judgment estimates, not calibrated statistics. No public dataset gives per-program win rates for an organization of this profile, and any number claiming otherwise is invented. They are a defensible ordering, useful for deciding what to write first - not probabilities to report to a board as fact.</t>
        </is>
      </c>
    </row>
    <row r="3" ht="66" customHeight="1">
      <c r="A3" s="27" t="inlineStr">
        <is>
          <t>On the 10-15% figure</t>
        </is>
      </c>
      <c r="B3" s="28" t="inlineStr">
        <is>
          <t>That is a fair average across all grantseeking, but applied uniformly it misdirects effort. Real odds here span roughly 50% down to low single digits, and they run close to INVERSE to award size. A flat rate would point at the $1M federal awards, which is exactly where a $300k organization has the worst odds.</t>
        </is>
      </c>
    </row>
    <row r="4" ht="24" customHeight="1">
      <c r="A4" s="26" t="inlineStr">
        <is>
          <t>The seven factors behind each estimate</t>
        </is>
      </c>
    </row>
    <row r="5" ht="30" customHeight="1">
      <c r="A5" s="27" t="inlineStr">
        <is>
          <t>1. Eligibility certainty</t>
        </is>
      </c>
      <c r="B5" s="28" t="inlineStr">
        <is>
          <t>Is the org clearly an eligible applicant, or is that an open question?</t>
        </is>
      </c>
    </row>
    <row r="6" ht="40" customHeight="1">
      <c r="A6" s="27" t="inlineStr">
        <is>
          <t>2. Geographic restriction</t>
        </is>
      </c>
      <c r="B6" s="28" t="inlineStr">
        <is>
          <t>The single biggest lever. A funder limited to Essex/Union/Somerset competes among dozens of applicants, not thousands.</t>
        </is>
      </c>
    </row>
    <row r="7" ht="30" customHeight="1">
      <c r="A7" s="27" t="inlineStr">
        <is>
          <t>3. Award-to-budget ratio</t>
        </is>
      </c>
      <c r="B7" s="28" t="inlineStr">
        <is>
          <t>Requesting 3x annual budget triggers capacity scrutiny. Requesting 5-20% does not.</t>
        </is>
      </c>
    </row>
    <row r="8" ht="30" customHeight="1">
      <c r="A8" s="27" t="inlineStr">
        <is>
          <t>4. Competitive pool</t>
        </is>
      </c>
      <c r="B8" s="28" t="inlineStr">
        <is>
          <t>Local foundation vs. national federal competition.</t>
        </is>
      </c>
    </row>
    <row r="9" ht="30" customHeight="1">
      <c r="A9" s="27" t="inlineStr">
        <is>
          <t>5. Track-record requirements</t>
        </is>
      </c>
      <c r="B9" s="28" t="inlineStr">
        <is>
          <t>Prior federal awards, CPA audit, outcome data systems, years in operation.</t>
        </is>
      </c>
    </row>
    <row r="10" ht="30" customHeight="1">
      <c r="A10" s="27" t="inlineStr">
        <is>
          <t>6. Application burden</t>
        </is>
      </c>
      <c r="B10" s="28" t="inlineStr">
        <is>
          <t>Staff time to produce a genuinely competitive submission.</t>
        </is>
      </c>
    </row>
    <row r="11" ht="30" customHeight="1">
      <c r="A11" s="27" t="inlineStr">
        <is>
          <t>7. Mission fit</t>
        </is>
      </c>
      <c r="B11" s="28" t="inlineStr">
        <is>
          <t>How little translation the funder has to do to see it.</t>
        </is>
      </c>
    </row>
    <row r="12" ht="24" customHeight="1">
      <c r="A12" s="26" t="inlineStr">
        <is>
          <t>Two things the ranking does not show</t>
        </is>
      </c>
    </row>
    <row r="13" ht="53" customHeight="1">
      <c r="A13" s="27" t="inlineStr">
        <is>
          <t>Expected value points elsewhere</t>
        </is>
      </c>
      <c r="B13" s="28" t="inlineStr">
        <is>
          <t>A 15% shot at $500k is worth more in expectation than a 50% shot at $2,500. Pathways to Recovery - Round 2 NGO is the highest-EV item on the list. Likelihood and value are different questions; the Expected Value column answers the second.</t>
        </is>
      </c>
    </row>
    <row r="14" ht="66" customHeight="1">
      <c r="A14" s="27" t="inlineStr">
        <is>
          <t>Federal cash-flow risk</t>
        </is>
      </c>
      <c r="B14" s="28" t="inlineStr">
        <is>
          <t>Most federal grants reimburse after spending. A $300k organization winning $1M on a cost-reimbursement basis must front payroll for months before the first draw. Winning the Second Chance Act awards without a line of credit or bridge funding could create a worse problem than losing them.</t>
        </is>
      </c>
    </row>
    <row r="15" ht="24" customHeight="1">
      <c r="A15" s="26" t="inlineStr">
        <is>
          <t>Suggested sequencing</t>
        </is>
      </c>
    </row>
    <row r="16" ht="40" customHeight="1">
      <c r="A16" s="27" t="inlineStr">
        <is>
          <t>Now - September</t>
        </is>
      </c>
      <c r="B16" s="28" t="inlineStr">
        <is>
          <t>Submit Tier A (#1-#4 are days of work, not weeks) plus CFNJ Empower NJ (#7). Puts real wins on the board fast.</t>
        </is>
      </c>
    </row>
    <row r="17" ht="30" customHeight="1">
      <c r="A17" s="27" t="inlineStr">
        <is>
          <t>Fall</t>
        </is>
      </c>
      <c r="B17" s="28" t="inlineStr">
        <is>
          <t>HFNJ (#6) by Nov 19, after resolving the affiliation question.</t>
        </is>
      </c>
    </row>
    <row r="18" ht="53" customHeight="1">
      <c r="A18" s="27" t="inlineStr">
        <is>
          <t>September 24 decision</t>
        </is>
      </c>
      <c r="B18" s="28" t="inlineStr">
        <is>
          <t>Pursue both Second Chance Act tracks as PARTNER or SUB-AWARDEE under a larger lead applicant rather than solo. Same mission value, far better odds, no cash-flow exposure - and the recovery court and IDRC relationships are exactly what a lead applicant needs.</t>
        </is>
      </c>
    </row>
    <row r="19" ht="53" customHeight="1">
      <c r="A19" s="27" t="inlineStr">
        <is>
          <t>Winter into 2027</t>
        </is>
      </c>
      <c r="B19" s="28" t="inlineStr">
        <is>
          <t>The LOI cycle (#10, #13, #14). With two or three 2026 wins to cite as track record, these move up a tier. The compounding matters more than any single application - funders ask who else has funded you, and Tier A answers that cheaply.</t>
        </is>
      </c>
    </row>
    <row r="20" ht="24" customHeight="1">
      <c r="A20" s="26" t="inlineStr">
        <is>
          <t>Colour key</t>
        </is>
      </c>
    </row>
    <row r="21" ht="30" customHeight="1">
      <c r="A21" s="27" t="inlineStr">
        <is>
          <t>Blue numbers</t>
        </is>
      </c>
      <c r="B21" s="28" t="inlineStr">
        <is>
          <t>Assumptions you can change - award bounds and win-probability estimates.</t>
        </is>
      </c>
    </row>
    <row r="22" ht="40" customHeight="1">
      <c r="A22" s="27" t="inlineStr">
        <is>
          <t>Yellow cells</t>
        </is>
      </c>
      <c r="B22" s="28" t="inlineStr">
        <is>
          <t>Yours to fill in: Status, Owner, Next Action, and the planning haircut in C2 on the Pipeline tab.</t>
        </is>
      </c>
    </row>
    <row r="23" ht="30" customHeight="1">
      <c r="A23" s="27" t="inlineStr">
        <is>
          <t>Black numbers</t>
        </is>
      </c>
      <c r="B23" s="28" t="inlineStr">
        <is>
          <t>Formulas. Changing them breaks the totals.</t>
        </is>
      </c>
    </row>
    <row r="24" ht="24" customHeight="1">
      <c r="A24" s="26" t="inlineStr">
        <is>
          <t>Source and caveats</t>
        </is>
      </c>
    </row>
    <row r="25" ht="53" customHeight="1">
      <c r="A25" s="27" t="inlineStr">
        <is>
          <t>Where the list came from</t>
        </is>
      </c>
      <c r="B25" s="28" t="inlineStr">
        <is>
          <t>An Instrumentl opportunity-match export supplied by the org on 2026-08-19. Deadlines and amounts are as listed there. Deadlines without a year were read as 2026. Tier/probability/fit assessments are this system's, not the funders'.</t>
        </is>
      </c>
    </row>
    <row r="26" ht="53" customHeight="1">
      <c r="A26" s="27" t="inlineStr">
        <is>
          <t>Verify before writing</t>
        </is>
      </c>
      <c r="B26" s="28" t="inlineStr">
        <is>
          <t>An earlier web-search run recorded HFNJ Standard Grants as closing 2026-08-28; the export shows 2026-11-19. Confirm every deadline at the source before building an application plan around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2026-10-12T08:18:38Z</dcterms:created>
  <dcterms:modified xsi:type="dcterms:W3CDTF">2026-10-12T08:18:38Z</dcterms:modified>
</cp:coreProperties>
</file>